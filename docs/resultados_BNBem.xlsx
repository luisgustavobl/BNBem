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odadas" sheetId="2" state="visible" r:id="rId4"/>
    <sheet name="Matriz_confusao" sheetId="3" state="visible" r:id="rId5"/>
    <sheet name="Casos_novos" sheetId="4" state="visible" r:id="rId6"/>
    <sheet name="Qualida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<sst xmlns="http://schemas.openxmlformats.org/spreadsheetml/2006/main" count="104" uniqueCount="82">
  <si>
    <t xml:space="preserve">BNBem · Resultados das análises</t>
  </si>
  <si>
    <t xml:space="preserve">Hackathon Siará Tech Summit 2026 · Equipe TATU · Versão pública</t>
  </si>
  <si>
    <t xml:space="preserve">Indicador</t>
  </si>
  <si>
    <t xml:space="preserve">Valor</t>
  </si>
  <si>
    <t xml:space="preserve">Rodadas de teste registradas</t>
  </si>
  <si>
    <t xml:space="preserve">Análises executadas pela IA</t>
  </si>
  <si>
    <t xml:space="preserve">Concordância com o gabarito antes da calibração</t>
  </si>
  <si>
    <t xml:space="preserve">Concordância com o gabarito depois da calibração</t>
  </si>
  <si>
    <t xml:space="preserve">Versão final: projetos históricos com a classe do gabarito</t>
  </si>
  <si>
    <t xml:space="preserve">Elegíveis reconhecidos: antes → depois</t>
  </si>
  <si>
    <t xml:space="preserve">Vezes em que a IA aprovou como Elegível um projeto que não era</t>
  </si>
  <si>
    <t xml:space="preserve">Divergências graves</t>
  </si>
  <si>
    <t xml:space="preserve">Históricos estáveis em todas as execuções</t>
  </si>
  <si>
    <t xml:space="preserve">Casos novos com a mesma classe nas 2 rodadas</t>
  </si>
  <si>
    <t xml:space="preserve">Citações ou números inventados nas análises conferidas</t>
  </si>
  <si>
    <t xml:space="preserve">Casos novos analisados</t>
  </si>
  <si>
    <t xml:space="preserve">Tempo médio de IA por projeto (s)</t>
  </si>
  <si>
    <t xml:space="preserve">Tempo total de IA para os 20 casos novos (min)</t>
  </si>
  <si>
    <t xml:space="preserve">Sobre os dados</t>
  </si>
  <si>
    <t xml:space="preserve">Todos os números vêm dos testes feitos durante o evento, com a massa de dados fictícia fornecida pela organização.</t>
  </si>
  <si>
    <t xml:space="preserve">Esta versão traz só estatísticas agregadas: não identifica projetos e não reproduz títulos, justificativas, evidências ou o gabarito.</t>
  </si>
  <si>
    <t xml:space="preserve">A IA sugere o estado de cada critério; a classe vem da árvore de regras do BNBem, e a decisão final é do analista.</t>
  </si>
  <si>
    <t xml:space="preserve">Valores em azul nas outras abas são registros da equipe; os demais são fórmulas.</t>
  </si>
  <si>
    <t xml:space="preserve">Rodadas de teste</t>
  </si>
  <si>
    <t xml:space="preserve">Uma linha por rodada. Valores em azul: registro da equipe; em preto: fórmulas.</t>
  </si>
  <si>
    <t xml:space="preserve">Fase</t>
  </si>
  <si>
    <t xml:space="preserve">Rodada</t>
  </si>
  <si>
    <t xml:space="preserve">Análises</t>
  </si>
  <si>
    <t xml:space="preserve">Com gabarito</t>
  </si>
  <si>
    <t xml:space="preserve">Acertos</t>
  </si>
  <si>
    <t xml:space="preserve">Concordância</t>
  </si>
  <si>
    <t xml:space="preserve">Linha de base (prompt inicial)</t>
  </si>
  <si>
    <t xml:space="preserve">Calibração</t>
  </si>
  <si>
    <t xml:space="preserve">Calibração + leitura completa de arquivos grandes</t>
  </si>
  <si>
    <t xml:space="preserve">Versão final (projetos históricos)</t>
  </si>
  <si>
    <t xml:space="preserve">Casos novos (sem gabarito)</t>
  </si>
  <si>
    <t xml:space="preserve">Total</t>
  </si>
  <si>
    <t xml:space="preserve">Os casos novos não têm gabarito: a concordância só é calculada para os projetos históricos.</t>
  </si>
  <si>
    <t xml:space="preserve">Matriz de confusão</t>
  </si>
  <si>
    <t xml:space="preserve">Prompt calibrado, todas as rodadas com gabarito (projetos históricos).</t>
  </si>
  <si>
    <t xml:space="preserve">Gabarito ↓ / IA →</t>
  </si>
  <si>
    <t xml:space="preserve">Elegível</t>
  </si>
  <si>
    <t xml:space="preserve">Com ressalvas</t>
  </si>
  <si>
    <t xml:space="preserve">Não elegível</t>
  </si>
  <si>
    <t xml:space="preserve">Evidência insuficiente</t>
  </si>
  <si>
    <t xml:space="preserve">Acertos (diagonal)</t>
  </si>
  <si>
    <t xml:space="preserve">Aprovados como Elegível sem ser</t>
  </si>
  <si>
    <t xml:space="preserve">20 projetos fictícios do evento, sem gabarito. 1ª rodada.</t>
  </si>
  <si>
    <t xml:space="preserve">Classe recomendada</t>
  </si>
  <si>
    <t xml:space="preserve">Projetos</t>
  </si>
  <si>
    <t xml:space="preserve">Participação</t>
  </si>
  <si>
    <t xml:space="preserve">Qualidade, estabilidade e tempo</t>
  </si>
  <si>
    <t xml:space="preserve">Valores em azul: registro e conferência da equipe.</t>
  </si>
  <si>
    <t xml:space="preserve">Observação</t>
  </si>
  <si>
    <t xml:space="preserve">Verificação de alucinação</t>
  </si>
  <si>
    <t xml:space="preserve">Análises conferidas manualmente</t>
  </si>
  <si>
    <t xml:space="preserve">IDs de evidência e números citados conferidos contra os arquivos</t>
  </si>
  <si>
    <t xml:space="preserve">Citações ou IDs inexistentes</t>
  </si>
  <si>
    <t xml:space="preserve">Números ou contas incorretos</t>
  </si>
  <si>
    <t xml:space="preserve">Imprecisões de leitura ou redação</t>
  </si>
  <si>
    <t xml:space="preserve">Sem efeito na classificação</t>
  </si>
  <si>
    <t xml:space="preserve">Menções indevidas a outro projeto</t>
  </si>
  <si>
    <t xml:space="preserve">Só nas primeiras rodadas; corrigidas na base de regras</t>
  </si>
  <si>
    <t xml:space="preserve">Estabilidade</t>
  </si>
  <si>
    <t xml:space="preserve">Históricos com a mesma classe correta em todas as execuções</t>
  </si>
  <si>
    <t xml:space="preserve">de 20 projetos</t>
  </si>
  <si>
    <t xml:space="preserve">de 15 projetos reanalisados</t>
  </si>
  <si>
    <t xml:space="preserve">Elegíveis reconhecidos na linha de base</t>
  </si>
  <si>
    <t xml:space="preserve">de 12 elegíveis no gabarito</t>
  </si>
  <si>
    <t xml:space="preserve">Elegíveis reconhecidos com o prompt calibrado</t>
  </si>
  <si>
    <t xml:space="preserve">Divergências graves em todas as rodadas</t>
  </si>
  <si>
    <t xml:space="preserve">Ex.: Não elegível classificado como Elegível</t>
  </si>
  <si>
    <t xml:space="preserve">Tempo de IA (casos novos, 1ª rodada)</t>
  </si>
  <si>
    <t xml:space="preserve">Duração média por projeto (s)</t>
  </si>
  <si>
    <t xml:space="preserve">Só a chamada à IA; não inclui a revisão do analista</t>
  </si>
  <si>
    <t xml:space="preserve">Duração mínima (s)</t>
  </si>
  <si>
    <t xml:space="preserve">Duração máxima (s)</t>
  </si>
  <si>
    <t xml:space="preserve">O maior pacote</t>
  </si>
  <si>
    <t xml:space="preserve">Tempo total para os 20 casos (min)</t>
  </si>
  <si>
    <t xml:space="preserve">Soma das durações</t>
  </si>
  <si>
    <t xml:space="preserve">Tokens estimados por análise (média)</t>
  </si>
  <si>
    <t xml:space="preserve">Estimativa: caracteres ÷ 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</si>
</sst>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40F24"/>
      <name val="Arial"/>
      <family val="0"/>
      <charset val="1"/>
    </font>
    <font>
      <i val="true"/>
      <sz val="9"/>
      <color rgb="FF6464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A6193C"/>
      <name val="Arial"/>
      <family val="0"/>
      <charset val="1"/>
    </font>
    <font>
      <sz val="9"/>
      <color rgb="FF6464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A6193C"/>
      <name val="Arial"/>
      <family val="0"/>
      <charset val="1"/>
    </font>
    <font>
      <sz val="11"/>
      <color rgb="FF6464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6193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0F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6193C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646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Rodadas!B15</f>
        <v>10</v>
      </c>
    </row>
    <row r="6" customFormat="false" ht="15" hidden="false" customHeight="false" outlineLevel="0" collapsed="false">
      <c r="A6" s="4" t="s">
        <v>5</v>
      </c>
      <c r="B6" s="5" t="n">
        <f aca="false">Rodadas!C15</f>
        <v>141</v>
      </c>
    </row>
    <row r="7" customFormat="false" ht="15" hidden="false" customHeight="false" outlineLevel="0" collapsed="false">
      <c r="A7" s="4" t="s">
        <v>6</v>
      </c>
      <c r="B7" s="6" t="n">
        <f aca="false">SUMIFS(Rodadas!E5:E14,Rodadas!A5:A14,"Linha de base*")/SUMIFS(Rodadas!D5:D14,Rodadas!A5:A14,"Linha de base*")</f>
        <v>0.7</v>
      </c>
    </row>
    <row r="8" customFormat="false" ht="15" hidden="false" customHeight="false" outlineLevel="0" collapsed="false">
      <c r="A8" s="4" t="s">
        <v>7</v>
      </c>
      <c r="B8" s="6" t="n">
        <f aca="false">Matriz_confusao!B12</f>
        <v>0.951612903225807</v>
      </c>
    </row>
    <row r="9" customFormat="false" ht="15" hidden="false" customHeight="false" outlineLevel="0" collapsed="false">
      <c r="A9" s="4" t="s">
        <v>8</v>
      </c>
      <c r="B9" s="7" t="str">
        <f aca="false">Rodadas!E12&amp;" de "&amp;Rodadas!D12</f>
        <v>19 de 20</v>
      </c>
    </row>
    <row r="10" customFormat="false" ht="15" hidden="false" customHeight="false" outlineLevel="0" collapsed="false">
      <c r="A10" s="4" t="s">
        <v>9</v>
      </c>
      <c r="B10" s="7" t="str">
        <f aca="false">Qualidade!B15&amp;" de 12 → "&amp;Qualidade!B16&amp;" de "&amp;Matriz_confusao!F5</f>
        <v>0 de 12 → 23 de 26</v>
      </c>
    </row>
    <row r="11" customFormat="false" ht="15" hidden="false" customHeight="false" outlineLevel="0" collapsed="false">
      <c r="A11" s="4" t="s">
        <v>10</v>
      </c>
      <c r="B11" s="5" t="n">
        <f aca="false">Matriz_confusao!B13</f>
        <v>0</v>
      </c>
    </row>
    <row r="12" customFormat="false" ht="15" hidden="false" customHeight="false" outlineLevel="0" collapsed="false">
      <c r="A12" s="4" t="s">
        <v>11</v>
      </c>
      <c r="B12" s="5" t="n">
        <f aca="false">Qualidade!B17</f>
        <v>0</v>
      </c>
    </row>
    <row r="13" customFormat="false" ht="15" hidden="false" customHeight="false" outlineLevel="0" collapsed="false">
      <c r="A13" s="4" t="s">
        <v>12</v>
      </c>
      <c r="B13" s="7" t="str">
        <f aca="false">Qualidade!B12&amp;" de 20"</f>
        <v>17 de 20</v>
      </c>
    </row>
    <row r="14" customFormat="false" ht="15" hidden="false" customHeight="false" outlineLevel="0" collapsed="false">
      <c r="A14" s="4" t="s">
        <v>13</v>
      </c>
      <c r="B14" s="7" t="str">
        <f aca="false">Qualidade!B13&amp;" de 15"</f>
        <v>14 de 15</v>
      </c>
    </row>
    <row r="15" customFormat="false" ht="15" hidden="false" customHeight="false" outlineLevel="0" collapsed="false">
      <c r="A15" s="4" t="s">
        <v>14</v>
      </c>
      <c r="B15" s="7" t="str">
        <f aca="false">(Qualidade!B7+Qualidade!B8)&amp;" em "&amp;Qualidade!B6</f>
        <v>0 em 81</v>
      </c>
    </row>
    <row r="16" customFormat="false" ht="15" hidden="false" customHeight="false" outlineLevel="0" collapsed="false">
      <c r="A16" s="4" t="s">
        <v>15</v>
      </c>
      <c r="B16" s="5" t="n">
        <f aca="false">Casos_novos!B9</f>
        <v>20</v>
      </c>
    </row>
    <row r="17" customFormat="false" ht="15" hidden="false" customHeight="false" outlineLevel="0" collapsed="false">
      <c r="A17" s="4" t="s">
        <v>16</v>
      </c>
      <c r="B17" s="5" t="n">
        <f aca="false">Qualidade!B19</f>
        <v>47.12</v>
      </c>
    </row>
    <row r="18" customFormat="false" ht="15" hidden="false" customHeight="false" outlineLevel="0" collapsed="false">
      <c r="A18" s="4" t="s">
        <v>17</v>
      </c>
      <c r="B18" s="5" t="n">
        <f aca="false">Qualidade!B22</f>
        <v>15.7066666666667</v>
      </c>
    </row>
    <row r="20" customFormat="false" ht="15" hidden="false" customHeight="false" outlineLevel="0" collapsed="false">
      <c r="A20" s="8" t="s">
        <v>18</v>
      </c>
    </row>
    <row r="21" customFormat="false" ht="15" hidden="false" customHeight="false" outlineLevel="0" collapsed="false">
      <c r="A21" s="9" t="s">
        <v>19</v>
      </c>
    </row>
    <row r="22" customFormat="false" ht="15" hidden="false" customHeight="false" outlineLevel="0" collapsed="false">
      <c r="A22" s="9" t="s">
        <v>20</v>
      </c>
    </row>
    <row r="23" customFormat="false" ht="15" hidden="false" customHeight="false" outlineLevel="0" collapsed="false">
      <c r="A23" s="9" t="s">
        <v>21</v>
      </c>
    </row>
    <row r="24" customFormat="false" ht="15" hidden="false" customHeight="false" outlineLevel="0" collapsed="false">
      <c r="A24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0" hidden="false" customHeight="tru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</row>
    <row r="5" customFormat="false" ht="15" hidden="false" customHeight="false" outlineLevel="0" collapsed="false">
      <c r="A5" s="4" t="s">
        <v>31</v>
      </c>
      <c r="B5" s="10" t="n">
        <v>1</v>
      </c>
      <c r="C5" s="10" t="n">
        <v>20</v>
      </c>
      <c r="D5" s="10" t="n">
        <v>20</v>
      </c>
      <c r="E5" s="10" t="n">
        <v>14</v>
      </c>
      <c r="F5" s="11" t="n">
        <f aca="false">IF(D5=0,"–",E5/D5)</f>
        <v>0.7</v>
      </c>
    </row>
    <row r="6" customFormat="false" ht="15" hidden="false" customHeight="false" outlineLevel="0" collapsed="false">
      <c r="A6" s="4" t="s">
        <v>31</v>
      </c>
      <c r="B6" s="10" t="n">
        <v>2</v>
      </c>
      <c r="C6" s="10" t="n">
        <v>20</v>
      </c>
      <c r="D6" s="10" t="n">
        <v>20</v>
      </c>
      <c r="E6" s="10" t="n">
        <v>14</v>
      </c>
      <c r="F6" s="11" t="n">
        <f aca="false">IF(D6=0,"–",E6/D6)</f>
        <v>0.7</v>
      </c>
    </row>
    <row r="7" customFormat="false" ht="15" hidden="false" customHeight="false" outlineLevel="0" collapsed="false">
      <c r="A7" s="4" t="s">
        <v>32</v>
      </c>
      <c r="B7" s="10" t="n">
        <v>1</v>
      </c>
      <c r="C7" s="10" t="n">
        <v>20</v>
      </c>
      <c r="D7" s="10" t="n">
        <v>20</v>
      </c>
      <c r="E7" s="10" t="n">
        <v>19</v>
      </c>
      <c r="F7" s="11" t="n">
        <f aca="false">IF(D7=0,"–",E7/D7)</f>
        <v>0.95</v>
      </c>
    </row>
    <row r="8" customFormat="false" ht="15" hidden="false" customHeight="false" outlineLevel="0" collapsed="false">
      <c r="A8" s="4" t="s">
        <v>32</v>
      </c>
      <c r="B8" s="10" t="n">
        <v>2</v>
      </c>
      <c r="C8" s="10" t="n">
        <v>10</v>
      </c>
      <c r="D8" s="10" t="n">
        <v>10</v>
      </c>
      <c r="E8" s="10" t="n">
        <v>9</v>
      </c>
      <c r="F8" s="11" t="n">
        <f aca="false">IF(D8=0,"–",E8/D8)</f>
        <v>0.9</v>
      </c>
    </row>
    <row r="9" customFormat="false" ht="15" hidden="false" customHeight="false" outlineLevel="0" collapsed="false">
      <c r="A9" s="4" t="s">
        <v>32</v>
      </c>
      <c r="B9" s="10" t="n">
        <v>3</v>
      </c>
      <c r="C9" s="10" t="n">
        <v>10</v>
      </c>
      <c r="D9" s="10" t="n">
        <v>10</v>
      </c>
      <c r="E9" s="10" t="n">
        <v>10</v>
      </c>
      <c r="F9" s="11" t="n">
        <f aca="false">IF(D9=0,"–",E9/D9)</f>
        <v>1</v>
      </c>
    </row>
    <row r="10" customFormat="false" ht="15" hidden="false" customHeight="false" outlineLevel="0" collapsed="false">
      <c r="A10" s="4" t="s">
        <v>33</v>
      </c>
      <c r="B10" s="10" t="n">
        <v>1</v>
      </c>
      <c r="C10" s="10" t="n">
        <v>3</v>
      </c>
      <c r="D10" s="10" t="n">
        <v>1</v>
      </c>
      <c r="E10" s="10" t="n">
        <v>1</v>
      </c>
      <c r="F10" s="11" t="n">
        <f aca="false">IF(D10=0,"–",E10/D10)</f>
        <v>1</v>
      </c>
    </row>
    <row r="11" customFormat="false" ht="15" hidden="false" customHeight="false" outlineLevel="0" collapsed="false">
      <c r="A11" s="4" t="s">
        <v>33</v>
      </c>
      <c r="B11" s="10" t="n">
        <v>2</v>
      </c>
      <c r="C11" s="10" t="n">
        <v>3</v>
      </c>
      <c r="D11" s="10" t="n">
        <v>1</v>
      </c>
      <c r="E11" s="10" t="n">
        <v>1</v>
      </c>
      <c r="F11" s="11" t="n">
        <f aca="false">IF(D11=0,"–",E11/D11)</f>
        <v>1</v>
      </c>
    </row>
    <row r="12" customFormat="false" ht="15" hidden="false" customHeight="false" outlineLevel="0" collapsed="false">
      <c r="A12" s="4" t="s">
        <v>34</v>
      </c>
      <c r="B12" s="10" t="n">
        <v>1</v>
      </c>
      <c r="C12" s="10" t="n">
        <v>20</v>
      </c>
      <c r="D12" s="10" t="n">
        <v>20</v>
      </c>
      <c r="E12" s="10" t="n">
        <v>19</v>
      </c>
      <c r="F12" s="11" t="n">
        <f aca="false">IF(D12=0,"–",E12/D12)</f>
        <v>0.95</v>
      </c>
    </row>
    <row r="13" customFormat="false" ht="15" hidden="false" customHeight="false" outlineLevel="0" collapsed="false">
      <c r="A13" s="4" t="s">
        <v>35</v>
      </c>
      <c r="B13" s="10" t="n">
        <v>1</v>
      </c>
      <c r="C13" s="10" t="n">
        <v>20</v>
      </c>
      <c r="D13" s="10" t="n">
        <v>0</v>
      </c>
      <c r="E13" s="10" t="n">
        <v>0</v>
      </c>
      <c r="F13" s="11" t="str">
        <f aca="false">IF(D13=0,"–",E13/D13)</f>
        <v>–</v>
      </c>
    </row>
    <row r="14" customFormat="false" ht="15" hidden="false" customHeight="false" outlineLevel="0" collapsed="false">
      <c r="A14" s="4" t="s">
        <v>35</v>
      </c>
      <c r="B14" s="10" t="n">
        <v>2</v>
      </c>
      <c r="C14" s="10" t="n">
        <v>15</v>
      </c>
      <c r="D14" s="10" t="n">
        <v>0</v>
      </c>
      <c r="E14" s="10" t="n">
        <v>0</v>
      </c>
      <c r="F14" s="11" t="str">
        <f aca="false">IF(D14=0,"–",E14/D14)</f>
        <v>–</v>
      </c>
    </row>
    <row r="15" customFormat="false" ht="15" hidden="false" customHeight="false" outlineLevel="0" collapsed="false">
      <c r="A15" s="12" t="s">
        <v>36</v>
      </c>
      <c r="B15" s="12" t="n">
        <f aca="false">COUNT(B5:B14)</f>
        <v>10</v>
      </c>
      <c r="C15" s="12" t="n">
        <f aca="false">SUM(C5:C14)</f>
        <v>141</v>
      </c>
      <c r="D15" s="12" t="n">
        <f aca="false">SUM(D5:D14)</f>
        <v>102</v>
      </c>
      <c r="E15" s="12" t="n">
        <f aca="false">SUM(E5:E14)</f>
        <v>87</v>
      </c>
      <c r="F15" s="13" t="n">
        <f aca="false">IF(D15=0,"–",E15/D15)</f>
        <v>0.852941176470588</v>
      </c>
    </row>
    <row r="17" customFormat="false" ht="15" hidden="false" customHeight="false" outlineLevel="0" collapsed="false">
      <c r="A17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36</v>
      </c>
    </row>
    <row r="5" customFormat="false" ht="15" hidden="false" customHeight="false" outlineLevel="0" collapsed="false">
      <c r="A5" s="12" t="s">
        <v>41</v>
      </c>
      <c r="B5" s="10" t="n">
        <v>23</v>
      </c>
      <c r="C5" s="10" t="n">
        <v>3</v>
      </c>
      <c r="D5" s="10" t="n">
        <v>0</v>
      </c>
      <c r="E5" s="10" t="n">
        <v>0</v>
      </c>
      <c r="F5" s="12" t="n">
        <f aca="false">SUM(B5:E5)</f>
        <v>26</v>
      </c>
    </row>
    <row r="6" customFormat="false" ht="15" hidden="false" customHeight="false" outlineLevel="0" collapsed="false">
      <c r="A6" s="12" t="s">
        <v>42</v>
      </c>
      <c r="B6" s="10" t="n">
        <v>0</v>
      </c>
      <c r="C6" s="10" t="n">
        <v>16</v>
      </c>
      <c r="D6" s="10" t="n">
        <v>0</v>
      </c>
      <c r="E6" s="10" t="n">
        <v>0</v>
      </c>
      <c r="F6" s="12" t="n">
        <f aca="false">SUM(B6:E6)</f>
        <v>16</v>
      </c>
    </row>
    <row r="7" customFormat="false" ht="15" hidden="false" customHeight="false" outlineLevel="0" collapsed="false">
      <c r="A7" s="12" t="s">
        <v>43</v>
      </c>
      <c r="B7" s="10" t="n">
        <v>0</v>
      </c>
      <c r="C7" s="10" t="n">
        <v>0</v>
      </c>
      <c r="D7" s="10" t="n">
        <v>14</v>
      </c>
      <c r="E7" s="10" t="n">
        <v>0</v>
      </c>
      <c r="F7" s="12" t="n">
        <f aca="false">SUM(B7:E7)</f>
        <v>14</v>
      </c>
    </row>
    <row r="8" customFormat="false" ht="15" hidden="false" customHeight="false" outlineLevel="0" collapsed="false">
      <c r="A8" s="12" t="s">
        <v>44</v>
      </c>
      <c r="B8" s="10" t="n">
        <v>0</v>
      </c>
      <c r="C8" s="10" t="n">
        <v>0</v>
      </c>
      <c r="D8" s="10" t="n">
        <v>0</v>
      </c>
      <c r="E8" s="10" t="n">
        <v>6</v>
      </c>
      <c r="F8" s="12" t="n">
        <f aca="false">SUM(B8:E8)</f>
        <v>6</v>
      </c>
    </row>
    <row r="9" customFormat="false" ht="15" hidden="false" customHeight="false" outlineLevel="0" collapsed="false">
      <c r="A9" s="12" t="s">
        <v>36</v>
      </c>
      <c r="B9" s="12" t="n">
        <f aca="false">SUM(B5:B8)</f>
        <v>23</v>
      </c>
      <c r="C9" s="12" t="n">
        <f aca="false">SUM(C5:C8)</f>
        <v>19</v>
      </c>
      <c r="D9" s="12" t="n">
        <f aca="false">SUM(D5:D8)</f>
        <v>14</v>
      </c>
      <c r="E9" s="12" t="n">
        <f aca="false">SUM(E5:E8)</f>
        <v>6</v>
      </c>
      <c r="F9" s="12" t="n">
        <f aca="false">SUM(F5:F8)</f>
        <v>62</v>
      </c>
    </row>
    <row r="11" customFormat="false" ht="15" hidden="false" customHeight="false" outlineLevel="0" collapsed="false">
      <c r="A11" s="12" t="s">
        <v>45</v>
      </c>
      <c r="B11" s="4" t="n">
        <f aca="false">B5+C6+D7+E8</f>
        <v>59</v>
      </c>
    </row>
    <row r="12" customFormat="false" ht="15" hidden="false" customHeight="false" outlineLevel="0" collapsed="false">
      <c r="A12" s="12" t="s">
        <v>30</v>
      </c>
      <c r="B12" s="11" t="n">
        <f aca="false">IF(F9=0,"–",B11/F9)</f>
        <v>0.951612903225807</v>
      </c>
    </row>
    <row r="13" customFormat="false" ht="15" hidden="false" customHeight="false" outlineLevel="0" collapsed="false">
      <c r="A13" s="12" t="s">
        <v>46</v>
      </c>
      <c r="B13" s="4" t="n">
        <f aca="false">SUM(B6:B8)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47</v>
      </c>
    </row>
    <row r="4" customFormat="false" ht="30" hidden="false" customHeight="true" outlineLevel="0" collapsed="false">
      <c r="A4" s="3" t="s">
        <v>48</v>
      </c>
      <c r="B4" s="3" t="s">
        <v>49</v>
      </c>
      <c r="C4" s="3" t="s">
        <v>50</v>
      </c>
    </row>
    <row r="5" customFormat="false" ht="15" hidden="false" customHeight="false" outlineLevel="0" collapsed="false">
      <c r="A5" s="4" t="s">
        <v>41</v>
      </c>
      <c r="B5" s="10" t="n">
        <v>3</v>
      </c>
      <c r="C5" s="11" t="n">
        <f aca="false">IF($B$9=0,"–",B5/$B$9)</f>
        <v>0.15</v>
      </c>
    </row>
    <row r="6" customFormat="false" ht="15" hidden="false" customHeight="false" outlineLevel="0" collapsed="false">
      <c r="A6" s="4" t="s">
        <v>42</v>
      </c>
      <c r="B6" s="10" t="n">
        <v>6</v>
      </c>
      <c r="C6" s="11" t="n">
        <f aca="false">IF($B$9=0,"–",B6/$B$9)</f>
        <v>0.3</v>
      </c>
    </row>
    <row r="7" customFormat="false" ht="15" hidden="false" customHeight="false" outlineLevel="0" collapsed="false">
      <c r="A7" s="4" t="s">
        <v>43</v>
      </c>
      <c r="B7" s="10" t="n">
        <v>6</v>
      </c>
      <c r="C7" s="11" t="n">
        <f aca="false">IF($B$9=0,"–",B7/$B$9)</f>
        <v>0.3</v>
      </c>
    </row>
    <row r="8" customFormat="false" ht="15" hidden="false" customHeight="false" outlineLevel="0" collapsed="false">
      <c r="A8" s="4" t="s">
        <v>44</v>
      </c>
      <c r="B8" s="10" t="n">
        <v>5</v>
      </c>
      <c r="C8" s="11" t="n">
        <f aca="false">IF($B$9=0,"–",B8/$B$9)</f>
        <v>0.25</v>
      </c>
    </row>
    <row r="9" customFormat="false" ht="15" hidden="false" customHeight="false" outlineLevel="0" collapsed="false">
      <c r="A9" s="12" t="s">
        <v>36</v>
      </c>
      <c r="B9" s="12" t="n">
        <f aca="false">SUM(B5:B8)</f>
        <v>20</v>
      </c>
      <c r="C9" s="13" t="n">
        <f aca="false">SUM(C5:C8)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53</v>
      </c>
    </row>
    <row r="5" customFormat="false" ht="15" hidden="false" customHeight="false" outlineLevel="0" collapsed="false">
      <c r="A5" s="14" t="s">
        <v>54</v>
      </c>
    </row>
    <row r="6" customFormat="false" ht="15" hidden="false" customHeight="false" outlineLevel="0" collapsed="false">
      <c r="A6" s="4" t="s">
        <v>55</v>
      </c>
      <c r="B6" s="15" t="n">
        <v>81</v>
      </c>
      <c r="C6" s="16" t="s">
        <v>56</v>
      </c>
    </row>
    <row r="7" customFormat="false" ht="15" hidden="false" customHeight="false" outlineLevel="0" collapsed="false">
      <c r="A7" s="4" t="s">
        <v>57</v>
      </c>
      <c r="B7" s="15" t="n">
        <v>0</v>
      </c>
    </row>
    <row r="8" customFormat="false" ht="15" hidden="false" customHeight="false" outlineLevel="0" collapsed="false">
      <c r="A8" s="4" t="s">
        <v>58</v>
      </c>
      <c r="B8" s="15" t="n">
        <v>0</v>
      </c>
    </row>
    <row r="9" customFormat="false" ht="15" hidden="false" customHeight="false" outlineLevel="0" collapsed="false">
      <c r="A9" s="4" t="s">
        <v>59</v>
      </c>
      <c r="B9" s="15" t="n">
        <v>3</v>
      </c>
      <c r="C9" s="16" t="s">
        <v>60</v>
      </c>
    </row>
    <row r="10" customFormat="false" ht="15" hidden="false" customHeight="false" outlineLevel="0" collapsed="false">
      <c r="A10" s="4" t="s">
        <v>61</v>
      </c>
      <c r="B10" s="15" t="n">
        <v>2</v>
      </c>
      <c r="C10" s="16" t="s">
        <v>62</v>
      </c>
    </row>
    <row r="11" customFormat="false" ht="15" hidden="false" customHeight="false" outlineLevel="0" collapsed="false">
      <c r="A11" s="14" t="s">
        <v>63</v>
      </c>
    </row>
    <row r="12" customFormat="false" ht="15" hidden="false" customHeight="false" outlineLevel="0" collapsed="false">
      <c r="A12" s="4" t="s">
        <v>64</v>
      </c>
      <c r="B12" s="15" t="n">
        <v>17</v>
      </c>
      <c r="C12" s="16" t="s">
        <v>65</v>
      </c>
    </row>
    <row r="13" customFormat="false" ht="15" hidden="false" customHeight="false" outlineLevel="0" collapsed="false">
      <c r="A13" s="4" t="s">
        <v>13</v>
      </c>
      <c r="B13" s="15" t="n">
        <v>14</v>
      </c>
      <c r="C13" s="16" t="s">
        <v>66</v>
      </c>
    </row>
    <row r="14" customFormat="false" ht="15" hidden="false" customHeight="false" outlineLevel="0" collapsed="false">
      <c r="A14" s="14" t="s">
        <v>32</v>
      </c>
    </row>
    <row r="15" customFormat="false" ht="15" hidden="false" customHeight="false" outlineLevel="0" collapsed="false">
      <c r="A15" s="4" t="s">
        <v>67</v>
      </c>
      <c r="B15" s="15" t="n">
        <v>0</v>
      </c>
      <c r="C15" s="16" t="s">
        <v>68</v>
      </c>
    </row>
    <row r="16" customFormat="false" ht="15" hidden="false" customHeight="false" outlineLevel="0" collapsed="false">
      <c r="A16" s="4" t="s">
        <v>69</v>
      </c>
      <c r="B16" s="4" t="n">
        <f aca="false">Matriz_confusao!B5</f>
        <v>23</v>
      </c>
      <c r="C16" s="16" t="str">
        <f aca="false">" de "&amp;Matriz_confusao!F5&amp;" elegíveis no gabarito"</f>
        <v> de 26 elegíveis no gabarito</v>
      </c>
    </row>
    <row r="17" customFormat="false" ht="15" hidden="false" customHeight="false" outlineLevel="0" collapsed="false">
      <c r="A17" s="4" t="s">
        <v>70</v>
      </c>
      <c r="B17" s="15" t="n">
        <v>0</v>
      </c>
      <c r="C17" s="16" t="s">
        <v>71</v>
      </c>
    </row>
    <row r="18" customFormat="false" ht="15" hidden="false" customHeight="false" outlineLevel="0" collapsed="false">
      <c r="A18" s="14" t="s">
        <v>72</v>
      </c>
    </row>
    <row r="19" customFormat="false" ht="15" hidden="false" customHeight="false" outlineLevel="0" collapsed="false">
      <c r="A19" s="4" t="s">
        <v>73</v>
      </c>
      <c r="B19" s="17" t="n">
        <v>47.12</v>
      </c>
      <c r="C19" s="16" t="s">
        <v>74</v>
      </c>
    </row>
    <row r="20" customFormat="false" ht="15" hidden="false" customHeight="false" outlineLevel="0" collapsed="false">
      <c r="A20" s="4" t="s">
        <v>75</v>
      </c>
      <c r="B20" s="17" t="n">
        <v>35.5</v>
      </c>
    </row>
    <row r="21" customFormat="false" ht="15" hidden="false" customHeight="false" outlineLevel="0" collapsed="false">
      <c r="A21" s="4" t="s">
        <v>76</v>
      </c>
      <c r="B21" s="17" t="n">
        <v>110.5</v>
      </c>
      <c r="C21" s="16" t="s">
        <v>77</v>
      </c>
    </row>
    <row r="22" customFormat="false" ht="15" hidden="false" customHeight="false" outlineLevel="0" collapsed="false">
      <c r="A22" s="4" t="s">
        <v>78</v>
      </c>
      <c r="B22" s="17" t="n">
        <v>15.7066666666667</v>
      </c>
      <c r="C22" s="16" t="s">
        <v>79</v>
      </c>
    </row>
    <row r="23" customFormat="false" ht="15" hidden="false" customHeight="false" outlineLevel="0" collapsed="false">
      <c r="A23" s="4" t="s">
        <v>80</v>
      </c>
      <c r="B23" s="17" t="n">
        <v>21383.95</v>
      </c>
      <c r="C23" s="1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2026-10-14T08:22:43Z</dcterms:created>
  <dc:creator>openpyxl</dc:creator>
  <dc:description/>
  <dc:language>en-US</dc:language>
  <cp:lastModifiedBy/>
  <dcterms:modified xsi:type="dcterms:W3CDTF">2026-10-14T08:22:43Z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